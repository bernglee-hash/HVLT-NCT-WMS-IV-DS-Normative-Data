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N:\Neurology Department\Neuropsychology\Tests\NCT\"/>
    </mc:Choice>
  </mc:AlternateContent>
  <xr:revisionPtr revIDLastSave="0" documentId="13_ncr:1_{4305781A-152B-4A7F-810E-BD2378026434}" xr6:coauthVersionLast="47" xr6:coauthVersionMax="47" xr10:uidLastSave="{00000000-0000-0000-0000-000000000000}"/>
  <bookViews>
    <workbookView xWindow="-120" yWindow="-120" windowWidth="29040" windowHeight="15720" activeTab="1" xr2:uid="{9A8AB2DE-5F65-4642-BFEA-2343C8F64241}"/>
  </bookViews>
  <sheets>
    <sheet name="HVLT" sheetId="1" r:id="rId1"/>
    <sheet name="NCT" sheetId="2" r:id="rId2"/>
    <sheet name="WAIS-IV 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2" l="1"/>
  <c r="C24" i="2"/>
  <c r="J24" i="2" s="1"/>
  <c r="F24" i="2" s="1"/>
  <c r="H14" i="2"/>
  <c r="F14" i="2" s="1"/>
  <c r="C19" i="2"/>
  <c r="H14" i="3"/>
  <c r="H13" i="3"/>
  <c r="H12" i="3"/>
  <c r="F13" i="3"/>
  <c r="F14" i="3"/>
  <c r="F12" i="3"/>
  <c r="E14" i="3"/>
  <c r="E12" i="3"/>
  <c r="E13" i="3"/>
  <c r="D14" i="3"/>
  <c r="D13" i="3"/>
  <c r="D12" i="3"/>
  <c r="J15" i="1"/>
  <c r="F15" i="1" s="1"/>
  <c r="I15" i="1"/>
  <c r="I14" i="1"/>
  <c r="J14" i="1"/>
  <c r="F14" i="1" s="1"/>
  <c r="J15" i="2"/>
  <c r="F15" i="2" s="1"/>
  <c r="I15" i="2"/>
  <c r="J25" i="2"/>
  <c r="F25" i="2" s="1"/>
  <c r="I25" i="2"/>
  <c r="J23" i="2"/>
  <c r="F23" i="2" s="1"/>
  <c r="I23" i="2"/>
  <c r="I22" i="2"/>
  <c r="J22" i="2"/>
  <c r="F22" i="2" s="1"/>
  <c r="J21" i="2"/>
  <c r="F21" i="2" s="1"/>
  <c r="I21" i="2"/>
  <c r="J20" i="2"/>
  <c r="F20" i="2" s="1"/>
  <c r="I20" i="2"/>
  <c r="E14" i="2" l="1"/>
  <c r="I24" i="2"/>
  <c r="C28" i="2" l="1"/>
  <c r="H28" i="2" s="1"/>
  <c r="F28" i="2" s="1"/>
  <c r="C27" i="2"/>
  <c r="C26" i="2"/>
  <c r="H26" i="2" s="1"/>
  <c r="F26" i="2" s="1"/>
  <c r="H13" i="2"/>
  <c r="H19" i="2"/>
  <c r="H6" i="3"/>
  <c r="H5" i="3"/>
  <c r="H6" i="2"/>
  <c r="H5" i="2"/>
  <c r="F13" i="2" l="1"/>
  <c r="E13" i="2"/>
  <c r="E19" i="2"/>
  <c r="D19" i="2"/>
  <c r="F19" i="2"/>
  <c r="D28" i="2"/>
  <c r="D26" i="2"/>
  <c r="D14" i="2"/>
  <c r="E28" i="2"/>
  <c r="E26" i="2"/>
  <c r="D13" i="2"/>
  <c r="H6" i="1"/>
  <c r="H5" i="1"/>
  <c r="H13" i="1" s="1"/>
  <c r="E13" i="1" s="1"/>
  <c r="E27" i="2" l="1"/>
  <c r="F27" i="2"/>
  <c r="D27" i="2"/>
  <c r="D13" i="1"/>
  <c r="F13" i="1"/>
  <c r="H12" i="1"/>
  <c r="D12" i="1" s="1"/>
  <c r="F12" i="1" l="1"/>
  <c r="E12" i="1"/>
</calcChain>
</file>

<file path=xl/sharedStrings.xml><?xml version="1.0" encoding="utf-8"?>
<sst xmlns="http://schemas.openxmlformats.org/spreadsheetml/2006/main" count="230" uniqueCount="78">
  <si>
    <t>Sex</t>
  </si>
  <si>
    <t>Race</t>
  </si>
  <si>
    <t>Age (years)</t>
  </si>
  <si>
    <t>Education (years)</t>
  </si>
  <si>
    <t>Total Recall</t>
  </si>
  <si>
    <t>Delayed Recall</t>
  </si>
  <si>
    <t>Raw Scores</t>
  </si>
  <si>
    <t>Z Score</t>
  </si>
  <si>
    <t>K</t>
  </si>
  <si>
    <t>β Age</t>
  </si>
  <si>
    <t>β Sex</t>
  </si>
  <si>
    <t>β Word Reading</t>
  </si>
  <si>
    <t>β Race</t>
  </si>
  <si>
    <r>
      <t>SE</t>
    </r>
    <r>
      <rPr>
        <vertAlign val="subscript"/>
        <sz val="12"/>
        <color rgb="FF000000"/>
        <rFont val="Times New Roman"/>
        <family val="1"/>
      </rPr>
      <t>est</t>
    </r>
  </si>
  <si>
    <t>Full with TOPF</t>
  </si>
  <si>
    <t>Demo Only</t>
  </si>
  <si>
    <t>HVLT Total Raw Score</t>
  </si>
  <si>
    <t>-</t>
  </si>
  <si>
    <t>HVLT Delayed Raw Score</t>
  </si>
  <si>
    <t>SexDummy</t>
  </si>
  <si>
    <t>RaceDummy^</t>
  </si>
  <si>
    <t>Female</t>
  </si>
  <si>
    <t>Male</t>
  </si>
  <si>
    <t>Norms Preference</t>
  </si>
  <si>
    <t>Asian</t>
  </si>
  <si>
    <t>Other</t>
  </si>
  <si>
    <t>White</t>
  </si>
  <si>
    <t>American Indian/ Alaska Native</t>
  </si>
  <si>
    <t>Native Hawaiian/ Pacific Islander</t>
  </si>
  <si>
    <t>Black</t>
  </si>
  <si>
    <t>T Score</t>
  </si>
  <si>
    <t>Percentile</t>
  </si>
  <si>
    <t>Word Reading SS</t>
  </si>
  <si>
    <t>Word Reading</t>
  </si>
  <si>
    <t>Including Reading</t>
  </si>
  <si>
    <t>Test</t>
  </si>
  <si>
    <t>Intercept</t>
  </si>
  <si>
    <t>NCT Total Score</t>
  </si>
  <si>
    <t>Digits Forward</t>
  </si>
  <si>
    <t>Digits Backwards</t>
  </si>
  <si>
    <t>Object Learning</t>
  </si>
  <si>
    <t>Learning/ Memory</t>
  </si>
  <si>
    <t>Attention/ Working Memory</t>
  </si>
  <si>
    <t>Age and Education</t>
  </si>
  <si>
    <t>β Education</t>
  </si>
  <si>
    <r>
      <t xml:space="preserve">Note: Word Reading relies on age-normed standardized score with mean of 100 and standard deviation of 15, </t>
    </r>
    <r>
      <rPr>
        <i/>
        <sz val="12"/>
        <color rgb="FF000000"/>
        <rFont val="Times New Roman"/>
        <family val="1"/>
      </rPr>
      <t>not</t>
    </r>
    <r>
      <rPr>
        <sz val="12"/>
        <color rgb="FF000000"/>
        <rFont val="Times New Roman"/>
        <family val="1"/>
      </rPr>
      <t xml:space="preserve"> TOPF predictive or equated models. Age relies on years of age. Education relies on years of education. Race relies on 0 = Caucasian; Non-Caucasian = 1</t>
    </r>
  </si>
  <si>
    <t>Behavioral Memory</t>
  </si>
  <si>
    <t>Vigilance</t>
  </si>
  <si>
    <t>1-Back</t>
  </si>
  <si>
    <t>Orientation</t>
  </si>
  <si>
    <t>Object Recall</t>
  </si>
  <si>
    <t>Percent Retained</t>
  </si>
  <si>
    <t>Verbal Commands</t>
  </si>
  <si>
    <t>Total</t>
  </si>
  <si>
    <t>Younger Adult</t>
  </si>
  <si>
    <t>Older Adult</t>
  </si>
  <si>
    <t>Older Adult %ile</t>
  </si>
  <si>
    <t>Younger Adult %ile</t>
  </si>
  <si>
    <t>Retention</t>
  </si>
  <si>
    <t>Recognition Discriminabilty</t>
  </si>
  <si>
    <t>NCT Tests/ Indices</t>
  </si>
  <si>
    <t>Digits Backward</t>
  </si>
  <si>
    <t>HVLT-R</t>
  </si>
  <si>
    <t>Patient Information</t>
  </si>
  <si>
    <t>Table 12. Regression data for norms computation - WAIS Digit Span</t>
  </si>
  <si>
    <t>Sex, Education, Age, and Reading</t>
  </si>
  <si>
    <t>WAIS Digits Forward</t>
  </si>
  <si>
    <t>WAIS Digits Backward</t>
  </si>
  <si>
    <t>WAIS Digits Total Score</t>
  </si>
  <si>
    <t>Sex, Education, and Age</t>
  </si>
  <si>
    <t>SEest</t>
  </si>
  <si>
    <t>Note: Word Reading relies on age-normed standardized score with mean of 100 and standard deviation of 15, not TOPF predictive or equated models. Age relies on years of age. Sex relies on 1 = female, 2 = male. Race relies on 0 = Caucasian; Non-Caucasian = 1</t>
  </si>
  <si>
    <t>WAIS-IV-DS</t>
  </si>
  <si>
    <r>
      <t>Instructions</t>
    </r>
    <r>
      <rPr>
        <sz val="11"/>
        <color theme="1"/>
        <rFont val="Aptos Narrow"/>
        <family val="2"/>
        <scheme val="minor"/>
      </rPr>
      <t xml:space="preserve">: Enter patient information and raw scores into the available cells. </t>
    </r>
  </si>
  <si>
    <t>Object Learning Total</t>
  </si>
  <si>
    <t>Object Learning T1</t>
  </si>
  <si>
    <t>Object Learning T2</t>
  </si>
  <si>
    <t>Object Learning 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</si>
</sst>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vertAlign val="subscript"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2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4" xfId="0" applyBorder="1" applyProtection="1">
      <protection locked="0"/>
    </xf>
    <xf numFmtId="0" fontId="0" fillId="0" borderId="9" xfId="0" applyBorder="1"/>
    <xf numFmtId="0" fontId="0" fillId="0" borderId="10" xfId="0" applyBorder="1" applyProtection="1">
      <protection locked="0"/>
    </xf>
    <xf numFmtId="0" fontId="0" fillId="0" borderId="5" xfId="0" applyBorder="1"/>
    <xf numFmtId="0" fontId="0" fillId="0" borderId="6" xfId="0" applyBorder="1" applyProtection="1">
      <protection locked="0"/>
    </xf>
    <xf numFmtId="16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0" xfId="0" quotePrefix="1" applyBorder="1" applyAlignment="1">
      <alignment horizontal="center"/>
    </xf>
    <xf numFmtId="1" fontId="0" fillId="0" borderId="0" xfId="0" quotePrefix="1" applyNumberFormat="1" applyBorder="1" applyAlignment="1">
      <alignment horizontal="center"/>
    </xf>
    <xf numFmtId="0" fontId="0" fillId="0" borderId="0" xfId="0" applyBorder="1"/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0" fillId="0" borderId="16" xfId="0" applyBorder="1" applyProtection="1">
      <protection locked="0"/>
    </xf>
    <xf numFmtId="0" fontId="0" fillId="0" borderId="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0" xfId="0" applyNumberFormat="1" applyBorder="1"/>
    <xf numFmtId="1" fontId="0" fillId="0" borderId="10" xfId="0" applyNumberFormat="1" applyBorder="1"/>
    <xf numFmtId="0" fontId="0" fillId="0" borderId="0" xfId="0" quotePrefix="1" applyBorder="1"/>
    <xf numFmtId="0" fontId="0" fillId="0" borderId="10" xfId="0" applyBorder="1"/>
    <xf numFmtId="0" fontId="0" fillId="0" borderId="5" xfId="0" applyBorder="1" applyAlignment="1">
      <alignment wrapText="1"/>
    </xf>
    <xf numFmtId="0" fontId="0" fillId="0" borderId="1" xfId="0" quotePrefix="1" applyBorder="1"/>
    <xf numFmtId="0" fontId="0" fillId="0" borderId="6" xfId="0" applyBorder="1"/>
    <xf numFmtId="0" fontId="0" fillId="0" borderId="8" xfId="0" applyBorder="1"/>
    <xf numFmtId="0" fontId="0" fillId="0" borderId="18" xfId="0" applyBorder="1"/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9" xfId="0" applyBorder="1"/>
    <xf numFmtId="0" fontId="0" fillId="0" borderId="20" xfId="0" applyBorder="1"/>
    <xf numFmtId="0" fontId="0" fillId="0" borderId="20" xfId="0" quotePrefix="1" applyBorder="1"/>
    <xf numFmtId="0" fontId="0" fillId="0" borderId="21" xfId="0" quotePrefix="1" applyBorder="1"/>
    <xf numFmtId="1" fontId="0" fillId="0" borderId="1" xfId="0" applyNumberFormat="1" applyBorder="1"/>
    <xf numFmtId="1" fontId="0" fillId="0" borderId="6" xfId="0" applyNumberFormat="1" applyBorder="1"/>
    <xf numFmtId="0" fontId="0" fillId="0" borderId="22" xfId="0" applyBorder="1" applyProtection="1">
      <protection locked="0"/>
    </xf>
    <xf numFmtId="0" fontId="0" fillId="0" borderId="17" xfId="0" applyBorder="1" applyProtection="1">
      <protection locked="0"/>
    </xf>
    <xf numFmtId="0" fontId="1" fillId="0" borderId="14" xfId="0" applyFont="1" applyBorder="1" applyAlignment="1">
      <alignment horizontal="right" vertical="center" wrapText="1"/>
    </xf>
    <xf numFmtId="1" fontId="0" fillId="0" borderId="10" xfId="0" quotePrefix="1" applyNumberFormat="1" applyBorder="1" applyAlignment="1">
      <alignment horizontal="center"/>
    </xf>
    <xf numFmtId="0" fontId="0" fillId="0" borderId="11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 applyProtection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9BC2-28E4-4C82-BF1A-AF0B7C64E534}">
  <dimension ref="B1:AC15"/>
  <sheetViews>
    <sheetView workbookViewId="0">
      <selection activeCell="C3" sqref="C3"/>
    </sheetView>
  </sheetViews>
  <sheetFormatPr defaultRowHeight="15" x14ac:dyDescent="0.25"/>
  <cols>
    <col min="2" max="2" width="25.85546875" customWidth="1"/>
    <col min="3" max="3" width="14" customWidth="1"/>
    <col min="4" max="4" width="10.85546875" customWidth="1"/>
    <col min="6" max="6" width="10.85546875" customWidth="1"/>
    <col min="8" max="11" width="9.140625" hidden="1" customWidth="1"/>
    <col min="12" max="12" width="28.42578125" hidden="1" customWidth="1"/>
    <col min="13" max="14" width="9.140625" hidden="1" customWidth="1"/>
    <col min="15" max="15" width="29.28515625" hidden="1" customWidth="1"/>
    <col min="16" max="19" width="9.140625" hidden="1" customWidth="1"/>
    <col min="20" max="20" width="28.85546875" hidden="1" customWidth="1"/>
    <col min="21" max="22" width="9.140625" hidden="1" customWidth="1"/>
    <col min="23" max="23" width="27.5703125" hidden="1" customWidth="1"/>
    <col min="24" max="29" width="9.140625" hidden="1" customWidth="1"/>
  </cols>
  <sheetData>
    <row r="1" spans="2:29" ht="15.75" thickBot="1" x14ac:dyDescent="0.3"/>
    <row r="2" spans="2:29" ht="15.75" thickBot="1" x14ac:dyDescent="0.3">
      <c r="B2" s="62" t="s">
        <v>63</v>
      </c>
      <c r="C2" s="63"/>
      <c r="E2" s="64" t="s">
        <v>73</v>
      </c>
      <c r="F2" s="64"/>
      <c r="G2" s="64"/>
      <c r="O2" s="60" t="s">
        <v>14</v>
      </c>
      <c r="P2" s="60"/>
      <c r="Q2" s="60"/>
      <c r="R2" s="60"/>
      <c r="S2" s="60"/>
      <c r="T2" s="60"/>
      <c r="U2" s="60"/>
      <c r="V2" s="1"/>
      <c r="W2" s="61" t="s">
        <v>15</v>
      </c>
      <c r="X2" s="61"/>
      <c r="Y2" s="61"/>
      <c r="Z2" s="61"/>
      <c r="AA2" s="61"/>
      <c r="AB2" s="61"/>
      <c r="AC2" s="61"/>
    </row>
    <row r="3" spans="2:29" ht="15.75" customHeight="1" thickBot="1" x14ac:dyDescent="0.3">
      <c r="B3" s="10" t="s">
        <v>23</v>
      </c>
      <c r="C3" s="11"/>
      <c r="E3" s="64"/>
      <c r="F3" s="64"/>
      <c r="G3" s="64"/>
      <c r="J3" t="s">
        <v>22</v>
      </c>
      <c r="K3" t="s">
        <v>33</v>
      </c>
      <c r="L3" t="s">
        <v>24</v>
      </c>
      <c r="P3" t="s">
        <v>8</v>
      </c>
      <c r="Q3" s="2" t="s">
        <v>9</v>
      </c>
      <c r="R3" s="2" t="s">
        <v>10</v>
      </c>
      <c r="S3" s="2" t="s">
        <v>11</v>
      </c>
      <c r="T3" s="2" t="s">
        <v>12</v>
      </c>
      <c r="U3" s="2" t="s">
        <v>13</v>
      </c>
      <c r="V3" s="7"/>
      <c r="X3" s="2" t="s">
        <v>8</v>
      </c>
      <c r="Y3" s="2" t="s">
        <v>9</v>
      </c>
      <c r="Z3" s="2" t="s">
        <v>10</v>
      </c>
      <c r="AA3" s="2" t="s">
        <v>11</v>
      </c>
      <c r="AB3" s="2" t="s">
        <v>12</v>
      </c>
      <c r="AC3" s="2" t="s">
        <v>13</v>
      </c>
    </row>
    <row r="4" spans="2:29" ht="16.5" customHeight="1" x14ac:dyDescent="0.25">
      <c r="B4" s="12" t="s">
        <v>2</v>
      </c>
      <c r="C4" s="13"/>
      <c r="E4" s="64"/>
      <c r="F4" s="64"/>
      <c r="G4" s="64"/>
      <c r="H4" t="s">
        <v>19</v>
      </c>
      <c r="J4" t="s">
        <v>21</v>
      </c>
      <c r="K4" t="s">
        <v>15</v>
      </c>
      <c r="L4" t="s">
        <v>27</v>
      </c>
      <c r="O4" s="3" t="s">
        <v>16</v>
      </c>
      <c r="P4" s="4">
        <v>18.454000000000001</v>
      </c>
      <c r="Q4" s="4">
        <v>-5.8999999999999997E-2</v>
      </c>
      <c r="R4" s="4">
        <v>-2.8740000000000001</v>
      </c>
      <c r="S4" s="4">
        <v>0.126</v>
      </c>
      <c r="T4" s="4" t="s">
        <v>17</v>
      </c>
      <c r="U4" s="4">
        <v>3.835</v>
      </c>
      <c r="V4" s="4"/>
      <c r="W4" s="5" t="s">
        <v>16</v>
      </c>
      <c r="X4" s="6">
        <v>33.216000000000001</v>
      </c>
      <c r="Y4" s="6">
        <v>-7.0000000000000007E-2</v>
      </c>
      <c r="Z4" s="6">
        <v>-3.2730000000000001</v>
      </c>
      <c r="AA4" s="6" t="s">
        <v>17</v>
      </c>
      <c r="AB4" s="6">
        <v>-2.4649999999999999</v>
      </c>
      <c r="AC4" s="6">
        <v>4.0129999999999999</v>
      </c>
    </row>
    <row r="5" spans="2:29" ht="16.5" customHeight="1" x14ac:dyDescent="0.25">
      <c r="B5" s="12" t="s">
        <v>0</v>
      </c>
      <c r="C5" s="13"/>
      <c r="E5" s="64"/>
      <c r="F5" s="64"/>
      <c r="G5" s="64"/>
      <c r="H5">
        <f>IF(C5="Male",2,1)</f>
        <v>1</v>
      </c>
      <c r="L5" t="s">
        <v>29</v>
      </c>
      <c r="O5" s="3" t="s">
        <v>18</v>
      </c>
      <c r="P5" s="4">
        <v>9.2100000000000009</v>
      </c>
      <c r="Q5" s="4">
        <v>-4.8000000000000001E-2</v>
      </c>
      <c r="R5" s="4">
        <v>-1.6739999999999999</v>
      </c>
      <c r="S5" s="4">
        <v>4.4999999999999998E-2</v>
      </c>
      <c r="T5" s="4">
        <v>-1.5029999999999999</v>
      </c>
      <c r="U5" s="4">
        <v>2.3879999999999999</v>
      </c>
      <c r="V5" s="4"/>
      <c r="W5" s="3" t="s">
        <v>18</v>
      </c>
      <c r="X5" s="4">
        <v>14.067</v>
      </c>
      <c r="Y5" s="4">
        <v>-4.8000000000000001E-2</v>
      </c>
      <c r="Z5" s="4">
        <v>-1.8140000000000001</v>
      </c>
      <c r="AA5" s="4" t="s">
        <v>17</v>
      </c>
      <c r="AB5" s="4">
        <v>-1.827</v>
      </c>
      <c r="AC5" s="4">
        <v>2.4420000000000002</v>
      </c>
    </row>
    <row r="6" spans="2:29" x14ac:dyDescent="0.25">
      <c r="B6" s="12" t="s">
        <v>1</v>
      </c>
      <c r="C6" s="13"/>
      <c r="E6" s="64"/>
      <c r="F6" s="64"/>
      <c r="G6" s="64"/>
      <c r="H6">
        <f>IF(C6="White",0,1)</f>
        <v>1</v>
      </c>
      <c r="L6" t="s">
        <v>28</v>
      </c>
    </row>
    <row r="7" spans="2:29" x14ac:dyDescent="0.25">
      <c r="B7" s="12" t="s">
        <v>3</v>
      </c>
      <c r="C7" s="13"/>
      <c r="E7" s="64"/>
      <c r="F7" s="64"/>
      <c r="G7" s="64"/>
      <c r="H7" t="s">
        <v>20</v>
      </c>
      <c r="L7" t="s">
        <v>26</v>
      </c>
    </row>
    <row r="8" spans="2:29" ht="15.75" thickBot="1" x14ac:dyDescent="0.3">
      <c r="B8" s="14" t="s">
        <v>32</v>
      </c>
      <c r="C8" s="15"/>
      <c r="E8" s="64"/>
      <c r="F8" s="64"/>
      <c r="G8" s="64"/>
      <c r="L8" t="s">
        <v>25</v>
      </c>
    </row>
    <row r="10" spans="2:29" ht="15.75" thickBot="1" x14ac:dyDescent="0.3"/>
    <row r="11" spans="2:29" ht="15.75" thickBot="1" x14ac:dyDescent="0.3">
      <c r="B11" s="28" t="s">
        <v>62</v>
      </c>
      <c r="C11" s="29" t="s">
        <v>6</v>
      </c>
      <c r="D11" s="39" t="s">
        <v>7</v>
      </c>
      <c r="E11" s="39" t="s">
        <v>30</v>
      </c>
      <c r="F11" s="38" t="s">
        <v>31</v>
      </c>
      <c r="H11" t="s">
        <v>7</v>
      </c>
      <c r="I11" t="s">
        <v>55</v>
      </c>
      <c r="J11" t="s">
        <v>54</v>
      </c>
    </row>
    <row r="12" spans="2:29" x14ac:dyDescent="0.25">
      <c r="B12" s="12" t="s">
        <v>4</v>
      </c>
      <c r="C12" s="40"/>
      <c r="D12" s="43" t="str">
        <f>IF(ISBLANK(C12),"Enter Data",H12)</f>
        <v>Enter Data</v>
      </c>
      <c r="E12" s="31" t="str">
        <f>IF(ISBLANK(C7),"Enter Data",(H12*10)+50)</f>
        <v>Enter Data</v>
      </c>
      <c r="F12" s="32" t="str">
        <f>IF(ISBLANK(C7),"Enter Data",_xlfn.NORM.DIST(H12,0,1,TRUE)*100)</f>
        <v>Enter Data</v>
      </c>
      <c r="H12" s="8">
        <f>IF(C3="Word Reading",((C12-(((P4+(Q4*C4)+(R4*H5)+(S4*C8)))))/U4),((C12-(((X4+(Y4*C4)+(Z4*H5)+(AB4*H6)))))/AC4))</f>
        <v>-6.8472464490406182</v>
      </c>
    </row>
    <row r="13" spans="2:29" x14ac:dyDescent="0.25">
      <c r="B13" s="12" t="s">
        <v>5</v>
      </c>
      <c r="C13" s="41"/>
      <c r="D13" s="44" t="str">
        <f>IF(ISBLANK(C13),"Enter Data",H13)</f>
        <v>Enter Data</v>
      </c>
      <c r="E13" s="31" t="str">
        <f>IF(ISBLANK(C7),"Enter Data",(H13*10)+50)</f>
        <v>Enter Data</v>
      </c>
      <c r="F13" s="32" t="str">
        <f>IF(ISBLANK(C7),"Enter Data",_xlfn.NORM.DIST(H13,0,1,TRUE)*100)</f>
        <v>Enter Data</v>
      </c>
      <c r="H13">
        <f>IF(C3="Word Reading",((C13-(((P5+(Q5*C4)+(R5*H5)+(S5*C8)+(T5*H6)))))/U5),((C13-(((X5+(Y5*C4)+(Z5*H5)+(AB5*H6)))))/AC5))</f>
        <v>-4.2694512694512694</v>
      </c>
    </row>
    <row r="14" spans="2:29" x14ac:dyDescent="0.25">
      <c r="B14" s="12" t="s">
        <v>58</v>
      </c>
      <c r="C14" s="41"/>
      <c r="D14" s="45" t="s">
        <v>17</v>
      </c>
      <c r="E14" s="33" t="s">
        <v>17</v>
      </c>
      <c r="F14" s="34" t="str">
        <f>IF(ISBLANK(C14),"Enter Data",IF(C4&gt;=60,I14,J14))</f>
        <v>Enter Data</v>
      </c>
      <c r="I14" t="str">
        <f>IF(C14&gt;=100,"&gt;75",IF(AND(C14&lt;100,C14&gt;=89),"50-75",IF(AND(C14&lt;89,C14&gt;=68),"25-49",IF(AND(C14&lt;68,C14&gt;=58),"17-24",IF(AND(C14&lt;58,C14&gt;=45),"9-16",IF(AND(C14&lt;45,C14&gt;=43),"3-8",IF(C14&lt;43,"0-2")))))))</f>
        <v>0-2</v>
      </c>
      <c r="J14" t="str">
        <f>IF(C14&gt;=100,"&gt;75",IF(AND(C14&lt;100,C14&gt;=90),"50-75",IF(AND(C14&lt;90,C14&gt;=79),"25-49",IF(AND(C14&lt;79,C14&gt;=68),"17-24",IF(AND(C14&lt;68,C14&gt;=60),"9-16",IF(AND(C14&lt;60,C14&gt;=50),"3-8",IF(C14&lt;50,"0-2")))))))</f>
        <v>0-2</v>
      </c>
    </row>
    <row r="15" spans="2:29" ht="15" customHeight="1" thickBot="1" x14ac:dyDescent="0.3">
      <c r="B15" s="35" t="s">
        <v>59</v>
      </c>
      <c r="C15" s="42"/>
      <c r="D15" s="46" t="s">
        <v>17</v>
      </c>
      <c r="E15" s="36" t="s">
        <v>17</v>
      </c>
      <c r="F15" s="37" t="str">
        <f>IF(ISBLANK(C15),"Enter Data",IF(C4&gt;=60,I15,J15))</f>
        <v>Enter Data</v>
      </c>
      <c r="I15" t="str">
        <f>IF(C15=12,"&gt;75",IF(C15=11,"50-75",IF(C15=10,"25-49",IF(C15=9,"17-24",IF(AND(C15&lt;9,C15&gt;=7),"9-16",IF(AND(C15&lt;7,C15&gt;=4),"3-8",IF(C15&lt;4,"0-2")))))))</f>
        <v>0-2</v>
      </c>
      <c r="J15" t="str">
        <f>IF(C15=12,"50",IF(C15=11,"25-49",IF(AND(C15&lt;=10,C15&gt;=9),"9-24",IF(AND(C15&lt;9,C15&gt;=5),"3-8",IF(C15&lt;5,"0-2")))))</f>
        <v>0-2</v>
      </c>
    </row>
  </sheetData>
  <sheetProtection sheet="1" objects="1" scenarios="1" selectLockedCells="1"/>
  <mergeCells count="4">
    <mergeCell ref="O2:U2"/>
    <mergeCell ref="W2:AC2"/>
    <mergeCell ref="B2:C2"/>
    <mergeCell ref="E2:G8"/>
  </mergeCells>
  <dataValidations count="3">
    <dataValidation type="list" allowBlank="1" showInputMessage="1" showErrorMessage="1" sqref="C6" xr:uid="{AC411C5C-7358-4047-9B98-A8E3FCC0A8A1}">
      <formula1>$L$3:$L$8</formula1>
    </dataValidation>
    <dataValidation type="list" allowBlank="1" showInputMessage="1" showErrorMessage="1" sqref="C3" xr:uid="{9EB44176-38E5-421B-9037-B5CF36D640B8}">
      <formula1>$K$3:$K$4</formula1>
    </dataValidation>
    <dataValidation type="list" allowBlank="1" showInputMessage="1" showErrorMessage="1" sqref="C5" xr:uid="{13076856-C5A0-43A5-8A64-F1EA05398475}">
      <formula1>$J$3:$J$4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0254-7A4D-4556-8319-E770B3DAA230}">
  <dimension ref="B1:U37"/>
  <sheetViews>
    <sheetView tabSelected="1" workbookViewId="0">
      <selection activeCell="C3" sqref="C3"/>
    </sheetView>
  </sheetViews>
  <sheetFormatPr defaultRowHeight="15" x14ac:dyDescent="0.25"/>
  <cols>
    <col min="1" max="1" width="6.5703125" customWidth="1"/>
    <col min="2" max="2" width="26.140625" customWidth="1"/>
    <col min="3" max="3" width="14" customWidth="1"/>
    <col min="4" max="4" width="10.85546875" customWidth="1"/>
    <col min="5" max="5" width="9.85546875" customWidth="1"/>
    <col min="6" max="6" width="10.85546875" customWidth="1"/>
    <col min="8" max="11" width="9.140625" hidden="1" customWidth="1"/>
    <col min="12" max="12" width="28.42578125" hidden="1" customWidth="1"/>
    <col min="13" max="15" width="9.140625" hidden="1" customWidth="1"/>
    <col min="16" max="16" width="28" hidden="1" customWidth="1"/>
    <col min="17" max="18" width="9.140625" hidden="1" customWidth="1"/>
    <col min="19" max="19" width="16.5703125" hidden="1" customWidth="1"/>
    <col min="20" max="21" width="9.140625" hidden="1" customWidth="1"/>
  </cols>
  <sheetData>
    <row r="1" spans="2:21" ht="15.75" thickBot="1" x14ac:dyDescent="0.3"/>
    <row r="2" spans="2:21" ht="15.75" thickBot="1" x14ac:dyDescent="0.3">
      <c r="B2" s="67" t="s">
        <v>63</v>
      </c>
      <c r="C2" s="68"/>
      <c r="E2" s="64" t="s">
        <v>73</v>
      </c>
      <c r="F2" s="64"/>
      <c r="G2" s="64"/>
    </row>
    <row r="3" spans="2:21" ht="16.5" thickBot="1" x14ac:dyDescent="0.3">
      <c r="B3" s="10" t="s">
        <v>23</v>
      </c>
      <c r="C3" s="53"/>
      <c r="E3" s="64"/>
      <c r="F3" s="64"/>
      <c r="G3" s="64"/>
      <c r="J3" t="s">
        <v>22</v>
      </c>
      <c r="K3" t="s">
        <v>33</v>
      </c>
      <c r="L3" t="s">
        <v>24</v>
      </c>
      <c r="P3" s="65" t="s">
        <v>34</v>
      </c>
      <c r="Q3" s="65"/>
      <c r="R3" s="65"/>
      <c r="S3" s="65"/>
      <c r="T3" s="65"/>
      <c r="U3" s="65"/>
    </row>
    <row r="4" spans="2:21" ht="18" customHeight="1" thickBot="1" x14ac:dyDescent="0.3">
      <c r="B4" s="12" t="s">
        <v>2</v>
      </c>
      <c r="C4" s="54"/>
      <c r="E4" s="64"/>
      <c r="F4" s="64"/>
      <c r="G4" s="64"/>
      <c r="H4" t="s">
        <v>19</v>
      </c>
      <c r="J4" t="s">
        <v>21</v>
      </c>
      <c r="K4" t="s">
        <v>15</v>
      </c>
      <c r="L4" t="s">
        <v>27</v>
      </c>
      <c r="P4" s="2" t="s">
        <v>35</v>
      </c>
      <c r="Q4" s="2" t="s">
        <v>36</v>
      </c>
      <c r="R4" s="2" t="s">
        <v>9</v>
      </c>
      <c r="S4" s="2" t="s">
        <v>11</v>
      </c>
      <c r="T4" s="2" t="s">
        <v>12</v>
      </c>
      <c r="U4" s="2" t="s">
        <v>13</v>
      </c>
    </row>
    <row r="5" spans="2:21" ht="18.75" customHeight="1" x14ac:dyDescent="0.25">
      <c r="B5" s="12" t="s">
        <v>0</v>
      </c>
      <c r="C5" s="54"/>
      <c r="E5" s="64"/>
      <c r="F5" s="64"/>
      <c r="G5" s="64"/>
      <c r="H5">
        <f>IF(C5="Male",2,1)</f>
        <v>1</v>
      </c>
      <c r="L5" t="s">
        <v>29</v>
      </c>
      <c r="P5" s="3" t="s">
        <v>37</v>
      </c>
      <c r="Q5" s="4">
        <v>73.027000000000001</v>
      </c>
      <c r="R5" s="4">
        <v>-6.4000000000000001E-2</v>
      </c>
      <c r="S5" s="4">
        <v>0.151</v>
      </c>
      <c r="T5" s="4" t="s">
        <v>17</v>
      </c>
      <c r="U5" s="4">
        <v>4.1660000000000004</v>
      </c>
    </row>
    <row r="6" spans="2:21" ht="18.75" customHeight="1" x14ac:dyDescent="0.25">
      <c r="B6" s="12" t="s">
        <v>1</v>
      </c>
      <c r="C6" s="54"/>
      <c r="E6" s="64"/>
      <c r="F6" s="64"/>
      <c r="G6" s="64"/>
      <c r="H6">
        <f>IF(C6="White",0,1)</f>
        <v>1</v>
      </c>
      <c r="L6" t="s">
        <v>28</v>
      </c>
      <c r="P6" s="3" t="s">
        <v>38</v>
      </c>
      <c r="Q6" s="4">
        <v>5.0179999999999998</v>
      </c>
      <c r="R6" s="4" t="s">
        <v>17</v>
      </c>
      <c r="S6" s="4">
        <v>4.2999999999999997E-2</v>
      </c>
      <c r="T6" s="4" t="s">
        <v>17</v>
      </c>
      <c r="U6" s="4">
        <v>1.3859999999999999</v>
      </c>
    </row>
    <row r="7" spans="2:21" ht="21" customHeight="1" x14ac:dyDescent="0.25">
      <c r="B7" s="12" t="s">
        <v>3</v>
      </c>
      <c r="C7" s="54"/>
      <c r="E7" s="64"/>
      <c r="F7" s="64"/>
      <c r="G7" s="64"/>
      <c r="H7" t="s">
        <v>20</v>
      </c>
      <c r="L7" t="s">
        <v>26</v>
      </c>
      <c r="P7" s="3" t="s">
        <v>39</v>
      </c>
      <c r="Q7" s="4">
        <v>-0.44900000000000001</v>
      </c>
      <c r="R7" s="4">
        <v>-2.5000000000000001E-2</v>
      </c>
      <c r="S7" s="4">
        <v>7.8E-2</v>
      </c>
      <c r="T7" s="4" t="s">
        <v>17</v>
      </c>
      <c r="U7" s="4">
        <v>1.917</v>
      </c>
    </row>
    <row r="8" spans="2:21" ht="18.75" customHeight="1" thickBot="1" x14ac:dyDescent="0.3">
      <c r="B8" s="14" t="s">
        <v>32</v>
      </c>
      <c r="C8" s="55"/>
      <c r="E8" s="64"/>
      <c r="F8" s="64"/>
      <c r="G8" s="64"/>
      <c r="L8" t="s">
        <v>25</v>
      </c>
      <c r="P8" s="3" t="s">
        <v>40</v>
      </c>
      <c r="Q8" s="4">
        <v>22.76</v>
      </c>
      <c r="R8" s="4">
        <v>-1.9E-2</v>
      </c>
      <c r="S8" s="4" t="s">
        <v>17</v>
      </c>
      <c r="T8" s="4" t="s">
        <v>17</v>
      </c>
      <c r="U8" s="4">
        <v>1.458</v>
      </c>
    </row>
    <row r="9" spans="2:21" ht="21.75" customHeight="1" x14ac:dyDescent="0.25">
      <c r="P9" s="3" t="s">
        <v>41</v>
      </c>
      <c r="Q9" s="4">
        <v>43.673000000000002</v>
      </c>
      <c r="R9" s="4">
        <v>-2.8000000000000001E-2</v>
      </c>
      <c r="S9" s="4" t="s">
        <v>17</v>
      </c>
      <c r="T9" s="4" t="s">
        <v>17</v>
      </c>
      <c r="U9" s="4">
        <v>1.84</v>
      </c>
    </row>
    <row r="10" spans="2:21" ht="20.25" customHeight="1" x14ac:dyDescent="0.25">
      <c r="P10" s="3" t="s">
        <v>42</v>
      </c>
      <c r="Q10" s="4">
        <v>20.658000000000001</v>
      </c>
      <c r="R10" s="4">
        <v>-3.5000000000000003E-2</v>
      </c>
      <c r="S10" s="4">
        <v>0.13800000000000001</v>
      </c>
      <c r="T10" s="4" t="s">
        <v>17</v>
      </c>
      <c r="U10" s="4">
        <v>3.2679999999999998</v>
      </c>
    </row>
    <row r="11" spans="2:21" ht="15.75" thickBot="1" x14ac:dyDescent="0.3"/>
    <row r="12" spans="2:21" ht="15.75" thickBot="1" x14ac:dyDescent="0.3">
      <c r="B12" s="28" t="s">
        <v>60</v>
      </c>
      <c r="C12" s="29" t="s">
        <v>6</v>
      </c>
      <c r="D12" s="29" t="s">
        <v>7</v>
      </c>
      <c r="E12" s="29" t="s">
        <v>30</v>
      </c>
      <c r="F12" s="30" t="s">
        <v>31</v>
      </c>
      <c r="H12" t="s">
        <v>7</v>
      </c>
      <c r="I12" t="s">
        <v>56</v>
      </c>
      <c r="J12" t="s">
        <v>57</v>
      </c>
    </row>
    <row r="13" spans="2:21" ht="18.75" customHeight="1" x14ac:dyDescent="0.25">
      <c r="B13" s="25" t="s">
        <v>38</v>
      </c>
      <c r="C13" s="56"/>
      <c r="D13" s="16" t="str">
        <f>IF(ISBLANK(C13),"Enter Data",H13)</f>
        <v>Enter Data</v>
      </c>
      <c r="E13" s="17" t="str">
        <f>IF(ISBLANK(C13),"Enter Data",(H13*10)+50)</f>
        <v>Enter Data</v>
      </c>
      <c r="F13" s="18" t="str">
        <f>IF(ISBLANK(C13),"Enter Data",_xlfn.NORM.DIST(H13,0,1,TRUE)*100)</f>
        <v>Enter Data</v>
      </c>
      <c r="H13">
        <f>IF(C3="Word Reading",((C13-(((Q6+(S6*C8)))))/U6),((C13-9.42)/1.86))</f>
        <v>-5.064516129032258</v>
      </c>
    </row>
    <row r="14" spans="2:21" ht="15.75" x14ac:dyDescent="0.25">
      <c r="B14" s="25" t="s">
        <v>39</v>
      </c>
      <c r="C14" s="56"/>
      <c r="D14" s="16" t="str">
        <f t="shared" ref="D14" si="0">IF(ISBLANK(C14),"Enter Data",H14)</f>
        <v>Enter Data</v>
      </c>
      <c r="E14" s="17" t="str">
        <f>IF(ISBLANK(C14),"Enter Data",(H14*10)+50)</f>
        <v>Enter Data</v>
      </c>
      <c r="F14" s="18" t="str">
        <f>IF(ISBLANK(C14),"Enter Data",_xlfn.NORM.DIST(H14,0,1,TRUE)*100)</f>
        <v>Enter Data</v>
      </c>
      <c r="H14">
        <f>IF(C3="Word Reading",((C14-(((Q7+(R7*C4)+(S7*C8)))))/U7),((C14-(((Q33+(R33*C4)+(S33*C7))))))/U33)</f>
        <v>-1.6081534772182255</v>
      </c>
    </row>
    <row r="15" spans="2:21" ht="15.75" x14ac:dyDescent="0.25">
      <c r="B15" s="25" t="s">
        <v>46</v>
      </c>
      <c r="C15" s="56"/>
      <c r="D15" s="19" t="s">
        <v>17</v>
      </c>
      <c r="E15" s="20" t="s">
        <v>17</v>
      </c>
      <c r="F15" s="18" t="str">
        <f>IF(ISBLANK(C15),"Enter Data",IF(C4&gt;=60,I15,J15))</f>
        <v>Enter Data</v>
      </c>
      <c r="I15" t="str">
        <f>IF(C15=5,"&gt;16",IF(C15=4,"9-15",IF(C15=3,"3-8",IF(C15=2,"3-8",IF(C15=1,"3-8","0-2")))))</f>
        <v>0-2</v>
      </c>
      <c r="J15" t="str">
        <f>IF(C15=5,"&gt;16","0-2")</f>
        <v>0-2</v>
      </c>
    </row>
    <row r="16" spans="2:21" ht="15.75" x14ac:dyDescent="0.25">
      <c r="B16" s="51" t="s">
        <v>75</v>
      </c>
      <c r="C16" s="56"/>
      <c r="D16" s="19" t="s">
        <v>17</v>
      </c>
      <c r="E16" s="20" t="s">
        <v>17</v>
      </c>
      <c r="F16" s="52" t="s">
        <v>17</v>
      </c>
    </row>
    <row r="17" spans="2:21" ht="15.75" x14ac:dyDescent="0.25">
      <c r="B17" s="51" t="s">
        <v>76</v>
      </c>
      <c r="C17" s="56"/>
      <c r="D17" s="19" t="s">
        <v>17</v>
      </c>
      <c r="E17" s="20" t="s">
        <v>17</v>
      </c>
      <c r="F17" s="52" t="s">
        <v>17</v>
      </c>
    </row>
    <row r="18" spans="2:21" ht="15.75" x14ac:dyDescent="0.25">
      <c r="B18" s="51" t="s">
        <v>77</v>
      </c>
      <c r="C18" s="56"/>
      <c r="D18" s="19" t="s">
        <v>17</v>
      </c>
      <c r="E18" s="20" t="s">
        <v>17</v>
      </c>
      <c r="F18" s="52" t="s">
        <v>17</v>
      </c>
    </row>
    <row r="19" spans="2:21" ht="15.75" x14ac:dyDescent="0.25">
      <c r="B19" s="25" t="s">
        <v>74</v>
      </c>
      <c r="C19" s="57" t="str">
        <f>IF(ISBLANK(C18),"",SUM(C16:C18))</f>
        <v/>
      </c>
      <c r="D19" s="16" t="str">
        <f>IF(ISBLANK(C18),"Enter Data",H19)</f>
        <v>Enter Data</v>
      </c>
      <c r="E19" s="17" t="str">
        <f>IF(ISBLANK(C18),"Enter Data",(H19*10)+50)</f>
        <v>Enter Data</v>
      </c>
      <c r="F19" s="18" t="str">
        <f>IF(ISBLANK(C18),"Enter Data",_xlfn.NORM.DIST(H19,0,1,TRUE)*100)</f>
        <v>Enter Data</v>
      </c>
      <c r="H19" t="e">
        <f>IF(C3="Word Reading",((C19-(((Q8+(R8*C4)))))/U8),((C19-(((Q34+(R34*C4))))))/U34)</f>
        <v>#VALUE!</v>
      </c>
    </row>
    <row r="20" spans="2:21" ht="15.75" x14ac:dyDescent="0.25">
      <c r="B20" s="25" t="s">
        <v>47</v>
      </c>
      <c r="C20" s="56"/>
      <c r="D20" s="19" t="s">
        <v>17</v>
      </c>
      <c r="E20" s="20" t="s">
        <v>17</v>
      </c>
      <c r="F20" s="18" t="str">
        <f>IF(ISBLANK(C20),"Enter Data",IF(C4&gt;=60,I20,J20))</f>
        <v>Enter Data</v>
      </c>
      <c r="I20" t="str">
        <f>IF(C20=10,"&gt;16",IF(C20=9,"9-15",IF(C20=8,"3-8","0-2")))</f>
        <v>0-2</v>
      </c>
      <c r="J20" t="str">
        <f>IF(C20=10,"&gt;16",IF(C20=9,"3-8","0-2"))</f>
        <v>0-2</v>
      </c>
    </row>
    <row r="21" spans="2:21" ht="15.75" x14ac:dyDescent="0.25">
      <c r="B21" s="25" t="s">
        <v>48</v>
      </c>
      <c r="C21" s="56"/>
      <c r="D21" s="19" t="s">
        <v>17</v>
      </c>
      <c r="E21" s="20" t="s">
        <v>17</v>
      </c>
      <c r="F21" s="18" t="str">
        <f>IF(ISBLANK(C21),"Enter Data",IF(C4&gt;=60,I21,J21))</f>
        <v>Enter Data</v>
      </c>
      <c r="I21" t="str">
        <f>IF(C21=6,"&gt;16",IF(C21=5,"&gt;16",IF(C21=4,"3-8","0-2")))</f>
        <v>0-2</v>
      </c>
      <c r="J21" t="str">
        <f>IF(AND(C21&lt;=6, C21&gt;=5),"&gt;16",IF(C21=4,"3-8","0-2"))</f>
        <v>0-2</v>
      </c>
    </row>
    <row r="22" spans="2:21" ht="15.75" x14ac:dyDescent="0.25">
      <c r="B22" s="25" t="s">
        <v>49</v>
      </c>
      <c r="C22" s="56"/>
      <c r="D22" s="19" t="s">
        <v>17</v>
      </c>
      <c r="E22" s="20" t="s">
        <v>17</v>
      </c>
      <c r="F22" s="18" t="str">
        <f>IF(ISBLANK(C22),"Enter Data",IF(C4&gt;=60,I22,J22))</f>
        <v>Enter Data</v>
      </c>
      <c r="I22" t="str">
        <f>IF(C22=8,"&gt;16",IF(C22=7,"3-8","0-2"))</f>
        <v>0-2</v>
      </c>
      <c r="J22" t="str">
        <f>IF(C22=8,"&gt;16","0-2")</f>
        <v>0-2</v>
      </c>
    </row>
    <row r="23" spans="2:21" ht="15.75" x14ac:dyDescent="0.25">
      <c r="B23" s="25" t="s">
        <v>50</v>
      </c>
      <c r="C23" s="56"/>
      <c r="D23" s="19" t="s">
        <v>17</v>
      </c>
      <c r="E23" s="20" t="s">
        <v>17</v>
      </c>
      <c r="F23" s="18" t="str">
        <f>IF(ISBLANK(C23),"Enter Data",IF(C4&gt;=60,I23,J23))</f>
        <v>Enter Data</v>
      </c>
      <c r="I23" t="str">
        <f>IF(C23=8,"&gt;16",IF(C23=7,"&gt;16",IF(C23=6,"3-8","0-2")))</f>
        <v>0-2</v>
      </c>
      <c r="J23" t="str">
        <f>IF(AND(C23&lt;=8,C23&gt;=7),"&gt;16","0-2")</f>
        <v>0-2</v>
      </c>
    </row>
    <row r="24" spans="2:21" ht="15.75" x14ac:dyDescent="0.25">
      <c r="B24" s="25" t="s">
        <v>51</v>
      </c>
      <c r="C24" s="57" t="str">
        <f>IF(ISBLANK(C18),"",((C23/(MAX(C16:C18)))*100))</f>
        <v/>
      </c>
      <c r="D24" s="19" t="s">
        <v>17</v>
      </c>
      <c r="E24" s="20" t="s">
        <v>17</v>
      </c>
      <c r="F24" s="18" t="str">
        <f>IF(ISBLANK(C23),"Enter Data",IF(C4&gt;=60,I24,J24))</f>
        <v>Enter Data</v>
      </c>
      <c r="I24" t="str">
        <f>IF(AND(C24&gt;86),"&gt;16",IF(AND(C24&gt;=76,C24&lt;=86),"3-8","0-2"))</f>
        <v>&gt;16</v>
      </c>
      <c r="J24" t="str">
        <f>IF(C24&gt;=87,"&gt;16","0-2")</f>
        <v>&gt;16</v>
      </c>
    </row>
    <row r="25" spans="2:21" ht="15.75" x14ac:dyDescent="0.25">
      <c r="B25" s="25" t="s">
        <v>52</v>
      </c>
      <c r="C25" s="56"/>
      <c r="D25" s="19" t="s">
        <v>17</v>
      </c>
      <c r="E25" s="20" t="s">
        <v>17</v>
      </c>
      <c r="F25" s="18" t="str">
        <f>IF(ISBLANK(C25),"Enter Data",IF(C4&gt;=60,I25,J25))</f>
        <v>Enter Data</v>
      </c>
      <c r="I25" t="str">
        <f>IF(C25=12,"&gt;16",IF(C25=11,"&gt;16","0-2"))</f>
        <v>0-2</v>
      </c>
      <c r="J25" t="str">
        <f>IF(AND(C25&lt;=12, C25&gt;=11),"&gt;16",IF(AND(C25&gt;=8, C25&lt;=10),"3-8","0-2"))</f>
        <v>0-2</v>
      </c>
    </row>
    <row r="26" spans="2:21" ht="15.75" x14ac:dyDescent="0.25">
      <c r="B26" s="25" t="s">
        <v>41</v>
      </c>
      <c r="C26" s="58" t="str">
        <f>IF(ISBLANK(C23),"",SUM(C15,C19,C22,C23))</f>
        <v/>
      </c>
      <c r="D26" s="16" t="str">
        <f>IF(ISBLANK(C23),"Enter Data",H26)</f>
        <v>Enter Data</v>
      </c>
      <c r="E26" s="17" t="str">
        <f>IF(ISBLANK(C23),"Enter Data",(H26*10)+50)</f>
        <v>Enter Data</v>
      </c>
      <c r="F26" s="18" t="str">
        <f>IF(ISBLANK(C23),"Enter Data",_xlfn.NORM.DIST(H26,0,1,TRUE)*100)</f>
        <v>Enter Data</v>
      </c>
      <c r="H26" t="e">
        <f>IF(C3="Word Reading",((C26-(((Q9+(R9*C4)))))/U9),((C26-(((Q35+(R35*C4))))))/U35)</f>
        <v>#VALUE!</v>
      </c>
    </row>
    <row r="27" spans="2:21" ht="15.75" customHeight="1" x14ac:dyDescent="0.25">
      <c r="B27" s="25" t="s">
        <v>42</v>
      </c>
      <c r="C27" s="58" t="str">
        <f>IF(ISBLANK(C25),"",SUM(C13,C14,C21,C25))</f>
        <v/>
      </c>
      <c r="D27" s="16" t="str">
        <f>IF(ISBLANK(C25),"Enter Data",H27)</f>
        <v>Enter Data</v>
      </c>
      <c r="E27" s="17" t="str">
        <f>IF(ISBLANK(C25),"Enter Data",(H27*10)+50)</f>
        <v>Enter Data</v>
      </c>
      <c r="F27" s="18" t="str">
        <f>IF(ISBLANK(C25),"Enter Data",_xlfn.NORM.DIST(H27,0,1,TRUE)*100)</f>
        <v>Enter Data</v>
      </c>
      <c r="H27" t="e">
        <f>IF(C3="Word Reading",((C27-(((Q10+(R10*C4)+(S10*C8)))))/U10),(((C27-(((Q36+(R36*C4)+(S36*C7)+(T36*H6)))))))/U36)</f>
        <v>#VALUE!</v>
      </c>
    </row>
    <row r="28" spans="2:21" ht="16.5" thickBot="1" x14ac:dyDescent="0.3">
      <c r="B28" s="26" t="s">
        <v>37</v>
      </c>
      <c r="C28" s="59" t="str">
        <f>IF(ISBLANK(C25),"",SUM(C13,C14,C15,C19,C20,C21,C22,C23,C25))</f>
        <v/>
      </c>
      <c r="D28" s="22" t="str">
        <f>IF(ISBLANK(C25),"Enter Data",H28)</f>
        <v>Enter Data</v>
      </c>
      <c r="E28" s="23" t="str">
        <f>IF(ISBLANK(C25),"Enter Data",(H28*10)+50)</f>
        <v>Enter Data</v>
      </c>
      <c r="F28" s="24" t="str">
        <f>IF(ISBLANK(C25),"Enter Data",_xlfn.NORM.DIST(H28,0,1,TRUE)*100)</f>
        <v>Enter Data</v>
      </c>
      <c r="H28" s="8" t="e">
        <f>IF(C3="Word Reading",((C28-(((Q5+(R5*C4)+(S5*C8)))))/U5),((C28-(((Q32+(R32*C4)))))/U32))</f>
        <v>#VALUE!</v>
      </c>
    </row>
    <row r="29" spans="2:21" ht="20.25" customHeight="1" x14ac:dyDescent="0.25"/>
    <row r="30" spans="2:21" ht="16.5" thickBot="1" x14ac:dyDescent="0.3">
      <c r="P30" s="65" t="s">
        <v>43</v>
      </c>
      <c r="Q30" s="65"/>
      <c r="R30" s="65"/>
      <c r="S30" s="65"/>
      <c r="T30" s="65"/>
      <c r="U30" s="65"/>
    </row>
    <row r="31" spans="2:21" ht="19.5" thickBot="1" x14ac:dyDescent="0.3">
      <c r="P31" s="2" t="s">
        <v>35</v>
      </c>
      <c r="Q31" s="2" t="s">
        <v>36</v>
      </c>
      <c r="R31" s="2" t="s">
        <v>9</v>
      </c>
      <c r="S31" s="2" t="s">
        <v>44</v>
      </c>
      <c r="T31" s="2" t="s">
        <v>12</v>
      </c>
      <c r="U31" s="2" t="s">
        <v>13</v>
      </c>
    </row>
    <row r="32" spans="2:21" ht="15.75" x14ac:dyDescent="0.25">
      <c r="P32" s="3" t="s">
        <v>37</v>
      </c>
      <c r="Q32" s="4">
        <v>88.177999999999997</v>
      </c>
      <c r="R32" s="4">
        <v>-6.0999999999999999E-2</v>
      </c>
      <c r="S32" s="4" t="s">
        <v>17</v>
      </c>
      <c r="T32" s="4" t="s">
        <v>17</v>
      </c>
      <c r="U32" s="4">
        <v>4.593</v>
      </c>
    </row>
    <row r="33" spans="16:21" ht="15.75" x14ac:dyDescent="0.25">
      <c r="P33" s="3" t="s">
        <v>39</v>
      </c>
      <c r="Q33" s="4">
        <v>3.3530000000000002</v>
      </c>
      <c r="R33" s="4">
        <v>-0.03</v>
      </c>
      <c r="S33" s="4">
        <v>0.28999999999999998</v>
      </c>
      <c r="T33" s="4" t="s">
        <v>17</v>
      </c>
      <c r="U33" s="4">
        <v>2.085</v>
      </c>
    </row>
    <row r="34" spans="16:21" ht="15.75" x14ac:dyDescent="0.25">
      <c r="P34" s="3" t="s">
        <v>40</v>
      </c>
      <c r="Q34" s="4">
        <v>22.76</v>
      </c>
      <c r="R34" s="4">
        <v>-1.9E-2</v>
      </c>
      <c r="S34" s="4" t="s">
        <v>17</v>
      </c>
      <c r="T34" s="4" t="s">
        <v>17</v>
      </c>
      <c r="U34" s="4">
        <v>1.458</v>
      </c>
    </row>
    <row r="35" spans="16:21" ht="15.75" x14ac:dyDescent="0.25">
      <c r="P35" s="3" t="s">
        <v>41</v>
      </c>
      <c r="Q35" s="4">
        <v>43.673000000000002</v>
      </c>
      <c r="R35" s="4">
        <v>-2.8000000000000001E-2</v>
      </c>
      <c r="S35" s="4" t="s">
        <v>17</v>
      </c>
      <c r="T35" s="4" t="s">
        <v>17</v>
      </c>
      <c r="U35" s="4">
        <v>1.84</v>
      </c>
    </row>
    <row r="36" spans="16:21" ht="15.75" x14ac:dyDescent="0.25">
      <c r="P36" s="3" t="s">
        <v>42</v>
      </c>
      <c r="Q36" s="4">
        <v>29.658000000000001</v>
      </c>
      <c r="R36" s="4">
        <v>-5.6000000000000001E-2</v>
      </c>
      <c r="S36" s="4">
        <v>0.45900000000000002</v>
      </c>
      <c r="T36" s="4">
        <v>-2.3319999999999999</v>
      </c>
      <c r="U36" s="4">
        <v>3.4750000000000001</v>
      </c>
    </row>
    <row r="37" spans="16:21" ht="15.75" x14ac:dyDescent="0.25">
      <c r="P37" s="66" t="s">
        <v>45</v>
      </c>
      <c r="Q37" s="66"/>
      <c r="R37" s="66"/>
      <c r="S37" s="66"/>
      <c r="T37" s="66"/>
      <c r="U37" s="66"/>
    </row>
  </sheetData>
  <sheetProtection sheet="1" objects="1" scenarios="1" selectLockedCells="1"/>
  <mergeCells count="5">
    <mergeCell ref="P3:U3"/>
    <mergeCell ref="P30:U30"/>
    <mergeCell ref="P37:U37"/>
    <mergeCell ref="B2:C2"/>
    <mergeCell ref="E2:G8"/>
  </mergeCells>
  <dataValidations count="3">
    <dataValidation type="list" allowBlank="1" showInputMessage="1" showErrorMessage="1" sqref="C5" xr:uid="{2D4C0E64-89EB-4C94-A7F0-920AE21DA92D}">
      <formula1>$J$3:$J$4</formula1>
    </dataValidation>
    <dataValidation type="list" allowBlank="1" showInputMessage="1" showErrorMessage="1" sqref="C3" xr:uid="{D54993C5-DD3A-438D-95E0-6F3FF34F14FB}">
      <formula1>$K$3:$K$4</formula1>
    </dataValidation>
    <dataValidation type="list" allowBlank="1" showInputMessage="1" showErrorMessage="1" sqref="C6" xr:uid="{5F2B55B0-43B6-4E47-A4D4-8FE5710058B5}">
      <formula1>$L$3:$L$8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1253-57B9-444B-8973-7FA73C718FCA}">
  <dimension ref="B1:V14"/>
  <sheetViews>
    <sheetView workbookViewId="0">
      <selection activeCell="C3" sqref="C3"/>
    </sheetView>
  </sheetViews>
  <sheetFormatPr defaultRowHeight="15" x14ac:dyDescent="0.25"/>
  <cols>
    <col min="2" max="2" width="18.5703125" customWidth="1"/>
    <col min="3" max="3" width="14" customWidth="1"/>
    <col min="4" max="4" width="10.85546875" customWidth="1"/>
    <col min="6" max="6" width="10.85546875" customWidth="1"/>
    <col min="8" max="11" width="0" hidden="1" customWidth="1"/>
    <col min="12" max="12" width="28.42578125" hidden="1" customWidth="1"/>
    <col min="13" max="22" width="0" hidden="1" customWidth="1"/>
  </cols>
  <sheetData>
    <row r="1" spans="2:22" ht="15.75" thickBot="1" x14ac:dyDescent="0.3">
      <c r="O1" t="s">
        <v>64</v>
      </c>
    </row>
    <row r="2" spans="2:22" ht="15.75" thickBot="1" x14ac:dyDescent="0.3">
      <c r="B2" s="62" t="s">
        <v>63</v>
      </c>
      <c r="C2" s="63"/>
      <c r="E2" s="64" t="s">
        <v>73</v>
      </c>
      <c r="F2" s="64"/>
      <c r="G2" s="64"/>
      <c r="O2" t="s">
        <v>65</v>
      </c>
    </row>
    <row r="3" spans="2:22" x14ac:dyDescent="0.25">
      <c r="B3" s="10" t="s">
        <v>23</v>
      </c>
      <c r="C3" s="11"/>
      <c r="E3" s="64"/>
      <c r="F3" s="64"/>
      <c r="G3" s="64"/>
      <c r="J3" t="s">
        <v>22</v>
      </c>
      <c r="K3" t="s">
        <v>33</v>
      </c>
      <c r="L3" t="s">
        <v>24</v>
      </c>
      <c r="O3" t="s">
        <v>35</v>
      </c>
      <c r="Q3" t="s">
        <v>36</v>
      </c>
      <c r="R3" t="s">
        <v>10</v>
      </c>
      <c r="S3" t="s">
        <v>44</v>
      </c>
      <c r="T3" t="s">
        <v>11</v>
      </c>
      <c r="U3" t="s">
        <v>9</v>
      </c>
      <c r="V3" t="s">
        <v>70</v>
      </c>
    </row>
    <row r="4" spans="2:22" x14ac:dyDescent="0.25">
      <c r="B4" s="12" t="s">
        <v>2</v>
      </c>
      <c r="C4" s="13"/>
      <c r="E4" s="64"/>
      <c r="F4" s="64"/>
      <c r="G4" s="64"/>
      <c r="H4" t="s">
        <v>19</v>
      </c>
      <c r="J4" t="s">
        <v>21</v>
      </c>
      <c r="K4" t="s">
        <v>15</v>
      </c>
      <c r="L4" t="s">
        <v>27</v>
      </c>
      <c r="O4" t="s">
        <v>66</v>
      </c>
      <c r="Q4">
        <v>4.7939999999999996</v>
      </c>
      <c r="R4" t="s">
        <v>17</v>
      </c>
      <c r="S4" t="s">
        <v>17</v>
      </c>
      <c r="T4">
        <v>5.5E-2</v>
      </c>
      <c r="U4" t="s">
        <v>17</v>
      </c>
      <c r="V4">
        <v>2.2069999999999999</v>
      </c>
    </row>
    <row r="5" spans="2:22" ht="16.5" customHeight="1" x14ac:dyDescent="0.25">
      <c r="B5" s="12" t="s">
        <v>0</v>
      </c>
      <c r="C5" s="13"/>
      <c r="E5" s="64"/>
      <c r="F5" s="64"/>
      <c r="G5" s="64"/>
      <c r="H5">
        <f>IF(C5="Male",2,1)</f>
        <v>1</v>
      </c>
      <c r="L5" t="s">
        <v>29</v>
      </c>
      <c r="O5" t="s">
        <v>67</v>
      </c>
      <c r="Q5">
        <v>3.6720000000000002</v>
      </c>
      <c r="R5" t="s">
        <v>17</v>
      </c>
      <c r="S5" t="s">
        <v>17</v>
      </c>
      <c r="T5">
        <v>4.9000000000000002E-2</v>
      </c>
      <c r="U5" t="s">
        <v>17</v>
      </c>
      <c r="V5">
        <v>1.913</v>
      </c>
    </row>
    <row r="6" spans="2:22" x14ac:dyDescent="0.25">
      <c r="B6" s="12" t="s">
        <v>1</v>
      </c>
      <c r="C6" s="13"/>
      <c r="E6" s="64"/>
      <c r="F6" s="64"/>
      <c r="G6" s="64"/>
      <c r="H6">
        <f>IF(C6="White",0,1)</f>
        <v>1</v>
      </c>
      <c r="L6" t="s">
        <v>28</v>
      </c>
      <c r="O6" t="s">
        <v>68</v>
      </c>
      <c r="Q6">
        <v>13.849</v>
      </c>
      <c r="R6" t="s">
        <v>17</v>
      </c>
      <c r="S6" t="s">
        <v>17</v>
      </c>
      <c r="T6">
        <v>0.159</v>
      </c>
      <c r="U6">
        <v>-4.7E-2</v>
      </c>
      <c r="V6">
        <v>4.6760000000000002</v>
      </c>
    </row>
    <row r="7" spans="2:22" ht="15.75" customHeight="1" x14ac:dyDescent="0.25">
      <c r="B7" s="12" t="s">
        <v>3</v>
      </c>
      <c r="C7" s="13"/>
      <c r="E7" s="64"/>
      <c r="F7" s="64"/>
      <c r="G7" s="64"/>
      <c r="H7" t="s">
        <v>20</v>
      </c>
      <c r="L7" t="s">
        <v>26</v>
      </c>
    </row>
    <row r="8" spans="2:22" ht="15.75" thickBot="1" x14ac:dyDescent="0.3">
      <c r="B8" s="14" t="s">
        <v>32</v>
      </c>
      <c r="C8" s="15"/>
      <c r="E8" s="64"/>
      <c r="F8" s="64"/>
      <c r="G8" s="64"/>
      <c r="L8" t="s">
        <v>25</v>
      </c>
      <c r="O8" t="s">
        <v>69</v>
      </c>
    </row>
    <row r="9" spans="2:22" x14ac:dyDescent="0.25">
      <c r="O9" t="s">
        <v>35</v>
      </c>
      <c r="Q9" t="s">
        <v>36</v>
      </c>
      <c r="R9" t="s">
        <v>10</v>
      </c>
      <c r="S9" t="s">
        <v>44</v>
      </c>
      <c r="T9" t="s">
        <v>11</v>
      </c>
      <c r="U9" t="s">
        <v>9</v>
      </c>
      <c r="V9" t="s">
        <v>70</v>
      </c>
    </row>
    <row r="10" spans="2:22" ht="15.75" thickBot="1" x14ac:dyDescent="0.3">
      <c r="O10" t="s">
        <v>67</v>
      </c>
      <c r="Q10">
        <v>9.8940000000000001</v>
      </c>
      <c r="R10">
        <v>-0.86199999999999999</v>
      </c>
      <c r="S10" t="s">
        <v>17</v>
      </c>
      <c r="T10" t="s">
        <v>17</v>
      </c>
      <c r="U10" t="s">
        <v>17</v>
      </c>
      <c r="V10">
        <v>1.974</v>
      </c>
    </row>
    <row r="11" spans="2:22" ht="15.75" thickBot="1" x14ac:dyDescent="0.3">
      <c r="B11" s="28" t="s">
        <v>72</v>
      </c>
      <c r="C11" s="29" t="s">
        <v>6</v>
      </c>
      <c r="D11" s="39" t="s">
        <v>7</v>
      </c>
      <c r="E11" s="39" t="s">
        <v>30</v>
      </c>
      <c r="F11" s="38" t="s">
        <v>31</v>
      </c>
      <c r="H11" t="s">
        <v>7</v>
      </c>
      <c r="O11" t="s">
        <v>68</v>
      </c>
      <c r="Q11">
        <v>24.018000000000001</v>
      </c>
      <c r="R11">
        <v>-2.2450000000000001</v>
      </c>
      <c r="S11">
        <v>0.63</v>
      </c>
      <c r="T11" t="s">
        <v>17</v>
      </c>
      <c r="U11">
        <v>-5.3999999999999999E-2</v>
      </c>
      <c r="V11">
        <v>4.8490000000000002</v>
      </c>
    </row>
    <row r="12" spans="2:22" x14ac:dyDescent="0.25">
      <c r="B12" s="12" t="s">
        <v>38</v>
      </c>
      <c r="C12" s="49"/>
      <c r="D12" s="21" t="str">
        <f>IF(ISBLANK(C12),"Enter Data",H12)</f>
        <v>Enter Data</v>
      </c>
      <c r="E12" s="31" t="str">
        <f>IF(ISBLANK(C12),"Enter Data",(H12*10)+50)</f>
        <v>Enter Data</v>
      </c>
      <c r="F12" s="32" t="str">
        <f>IF(ISBLANK(C12),"Enter Data",_xlfn.NORM.DIST(H12,0,1,TRUE)*100)</f>
        <v>Enter Data</v>
      </c>
      <c r="H12" s="8" t="str">
        <f>IF(C3="Word Reading",((C12-(((Q4+(T4*C8)))))/V4),"Use Manual Norms")</f>
        <v>Use Manual Norms</v>
      </c>
    </row>
    <row r="13" spans="2:22" ht="15.75" customHeight="1" x14ac:dyDescent="0.25">
      <c r="B13" s="12" t="s">
        <v>61</v>
      </c>
      <c r="C13" s="27"/>
      <c r="D13" s="21" t="str">
        <f>IF(ISBLANK(C13),"Enter Data",H13)</f>
        <v>Enter Data</v>
      </c>
      <c r="E13" s="31" t="str">
        <f>IF(ISBLANK(C13),"Enter Data",(H13*10)+50)</f>
        <v>Enter Data</v>
      </c>
      <c r="F13" s="32" t="str">
        <f t="shared" ref="F13:F14" si="0">IF(ISBLANK(C13),"Enter Data",_xlfn.NORM.DIST(H13,0,1,TRUE)*100)</f>
        <v>Enter Data</v>
      </c>
      <c r="H13">
        <f>IF(C3="Word Reading",((C13-(((Q5+(T5*C8)))))/V5),((C13-(((Q10+(R10*H5)))))/V10))</f>
        <v>-4.5754812563323206</v>
      </c>
      <c r="O13" t="s">
        <v>71</v>
      </c>
    </row>
    <row r="14" spans="2:22" ht="15.75" thickBot="1" x14ac:dyDescent="0.3">
      <c r="B14" s="14" t="s">
        <v>53</v>
      </c>
      <c r="C14" s="50"/>
      <c r="D14" s="9" t="str">
        <f>IF(ISBLANK(C14),"Enter Data",H14)</f>
        <v>Enter Data</v>
      </c>
      <c r="E14" s="47" t="str">
        <f>IF(ISBLANK(C14),"Enter Data",(H14*10)+50)</f>
        <v>Enter Data</v>
      </c>
      <c r="F14" s="48" t="str">
        <f t="shared" si="0"/>
        <v>Enter Data</v>
      </c>
      <c r="H14">
        <f>IF(C3="Word Reading",((C14-(((Q6+(T6*C8)+(U6*C4)))))/V6),((C14-(((Q11+(R11*H5)+(S11*C7)+(U11*C4))))))/V11)</f>
        <v>-4.4902041658073824</v>
      </c>
    </row>
  </sheetData>
  <sheetProtection sheet="1" objects="1" scenarios="1" selectLockedCells="1"/>
  <mergeCells count="2">
    <mergeCell ref="E2:G8"/>
    <mergeCell ref="B2:C2"/>
  </mergeCells>
  <dataValidations count="3">
    <dataValidation type="list" allowBlank="1" showInputMessage="1" showErrorMessage="1" sqref="C3" xr:uid="{7F9FC7AD-3B7C-4D80-9B06-89B9F88EB2DE}">
      <formula1>$K$3:$K$4</formula1>
    </dataValidation>
    <dataValidation type="list" allowBlank="1" showInputMessage="1" showErrorMessage="1" sqref="C5" xr:uid="{B1A6EB0D-94BE-4562-998B-F0FC94236A41}">
      <formula1>$J$3:$J$4</formula1>
    </dataValidation>
    <dataValidation type="list" allowBlank="1" showInputMessage="1" showErrorMessage="1" sqref="C6" xr:uid="{BD7BFB8C-2816-4635-99DF-51A44DAEF92C}">
      <formula1>$L$3:$L$8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HVLT</vt:lpstr>
      <vt:lpstr>NCT</vt:lpstr>
      <vt:lpstr>WAIS-IV 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 Lee</dc:creator>
  <cp:lastModifiedBy>Bern Lee</cp:lastModifiedBy>
  <dcterms:created xsi:type="dcterms:W3CDTF">2026-03-30T12:48:50Z</dcterms:created>
  <dcterms:modified xsi:type="dcterms:W3CDTF">2026-04-28T12:44:01Z</dcterms:modified>
</cp:coreProperties>
</file>