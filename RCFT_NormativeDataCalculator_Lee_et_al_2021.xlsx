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chsnerhealth-my.sharepoint.com/personal/2056024_ochsner_org/Documents/Documents/"/>
    </mc:Choice>
  </mc:AlternateContent>
  <xr:revisionPtr revIDLastSave="32" documentId="11_6CA3197D54E296CAA45E5DBAA59D4377DF8DEB94" xr6:coauthVersionLast="47" xr6:coauthVersionMax="47" xr10:uidLastSave="{754C9D36-53DE-4ED4-8F79-D091C2E35AB3}"/>
  <bookViews>
    <workbookView minimized="1" xWindow="1620" yWindow="1800" windowWidth="16320" windowHeight="112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4" i="1"/>
  <c r="L13" i="1"/>
  <c r="L12" i="1"/>
  <c r="L11" i="1"/>
  <c r="J15" i="1" l="1"/>
  <c r="J14" i="1"/>
  <c r="J13" i="1"/>
  <c r="J12" i="1"/>
  <c r="J11" i="1"/>
  <c r="I15" i="1"/>
  <c r="I14" i="1"/>
  <c r="I13" i="1"/>
  <c r="I12" i="1"/>
  <c r="I11" i="1"/>
  <c r="C15" i="1"/>
  <c r="M15" i="1" s="1"/>
  <c r="M12" i="1"/>
  <c r="M13" i="1"/>
  <c r="M14" i="1"/>
  <c r="M11" i="1"/>
  <c r="K13" i="1" l="1"/>
  <c r="K14" i="1"/>
  <c r="K15" i="1"/>
  <c r="K12" i="1"/>
  <c r="K11" i="1"/>
  <c r="D15" i="1" l="1"/>
  <c r="E15" i="1" s="1"/>
  <c r="D12" i="1"/>
  <c r="E12" i="1" s="1"/>
  <c r="D14" i="1"/>
  <c r="E14" i="1" s="1"/>
  <c r="D13" i="1"/>
  <c r="E13" i="1" s="1"/>
  <c r="D11" i="1"/>
  <c r="E11" i="1" s="1"/>
</calcChain>
</file>

<file path=xl/sharedStrings.xml><?xml version="1.0" encoding="utf-8"?>
<sst xmlns="http://schemas.openxmlformats.org/spreadsheetml/2006/main" count="25" uniqueCount="25">
  <si>
    <t>Measure</t>
  </si>
  <si>
    <t>Constant</t>
  </si>
  <si>
    <t>Beta_Age</t>
  </si>
  <si>
    <t>Beta_Edu</t>
  </si>
  <si>
    <t>Age</t>
  </si>
  <si>
    <t>Edu</t>
  </si>
  <si>
    <t>Expected_Score</t>
  </si>
  <si>
    <t>Score</t>
  </si>
  <si>
    <t>Raw Score</t>
  </si>
  <si>
    <t>Percentile</t>
  </si>
  <si>
    <t>Age:</t>
  </si>
  <si>
    <t>Demographic Information</t>
  </si>
  <si>
    <t>Education:</t>
  </si>
  <si>
    <t>Z score</t>
  </si>
  <si>
    <t>RCFT Copy</t>
  </si>
  <si>
    <t>RCFT SDFR</t>
  </si>
  <si>
    <t>RCFT LDFR</t>
  </si>
  <si>
    <t>Score Information and Normative Data Output</t>
  </si>
  <si>
    <t>RCFT Total Recog.</t>
  </si>
  <si>
    <t>RCFT Perc. Retained</t>
  </si>
  <si>
    <r>
      <rPr>
        <b/>
        <sz val="12"/>
        <color theme="1"/>
        <rFont val="Calibri"/>
        <family val="2"/>
        <scheme val="minor"/>
      </rPr>
      <t>Instructions</t>
    </r>
    <r>
      <rPr>
        <sz val="12"/>
        <color theme="1"/>
        <rFont val="Calibri"/>
        <family val="2"/>
        <scheme val="minor"/>
      </rPr>
      <t xml:space="preserve">: Enter demographic and raw score data into blank white spaces in tables. </t>
    </r>
  </si>
  <si>
    <r>
      <rPr>
        <u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Sample included adults aged 18-64 with 6-20 years of education. Predictions outside of these ranges and predictions at the tails of these ranges may be unstable. Red-highlighted cells should raise concern for assumtions or for scores out of range.</t>
    </r>
  </si>
  <si>
    <t>SE_Estimate</t>
  </si>
  <si>
    <r>
      <rPr>
        <b/>
        <sz val="12"/>
        <color theme="1"/>
        <rFont val="Calibri"/>
        <family val="2"/>
        <scheme val="minor"/>
      </rPr>
      <t xml:space="preserve">Citation: </t>
    </r>
    <r>
      <rPr>
        <sz val="12"/>
        <color theme="1"/>
        <rFont val="Calibri"/>
        <family val="2"/>
        <scheme val="minor"/>
      </rPr>
      <t>Lee, B. G., Kent, J. A., Marcopulos, B. A., Arredondo, B. C., &amp; Wilson, M. (2021). Rey–Osterrieth complex figure normative data for the psychiatric population. The Clinical Neuropsychologist, 1-26.</t>
    </r>
  </si>
  <si>
    <t>Psychiatric Normative Data for the Rey-Osterrieth Complex Figure Test (RCFT)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</si>
</sst>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8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2" borderId="7" xfId="0" applyFill="1" applyBorder="1"/>
    <xf numFmtId="0" fontId="0" fillId="2" borderId="9" xfId="0" applyFill="1" applyBorder="1"/>
    <xf numFmtId="0" fontId="0" fillId="2" borderId="5" xfId="0" applyFill="1" applyBorder="1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6"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9"/>
  <sheetViews>
    <sheetView tabSelected="1" zoomScale="140" zoomScaleNormal="140" workbookViewId="0">
      <selection activeCell="C12" sqref="C12"/>
    </sheetView>
  </sheetViews>
  <sheetFormatPr defaultColWidth="11" defaultRowHeight="15.75" x14ac:dyDescent="0.25"/>
  <cols>
    <col min="2" max="2" width="17.125" customWidth="1"/>
    <col min="5" max="5" width="12.125" bestFit="1" customWidth="1"/>
    <col min="6" max="13" width="10.875" hidden="1" customWidth="1"/>
  </cols>
  <sheetData>
    <row r="2" spans="2:15" x14ac:dyDescent="0.25">
      <c r="B2" s="20" t="s">
        <v>24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x14ac:dyDescent="0.25">
      <c r="B3" s="21" t="s">
        <v>20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2:15" ht="16.5" thickBot="1" x14ac:dyDescent="0.3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5" x14ac:dyDescent="0.25">
      <c r="B5" s="15" t="s">
        <v>11</v>
      </c>
      <c r="C5" s="16"/>
    </row>
    <row r="6" spans="2:15" x14ac:dyDescent="0.25">
      <c r="B6" s="4" t="s">
        <v>10</v>
      </c>
      <c r="C6" s="1">
        <v>26</v>
      </c>
    </row>
    <row r="7" spans="2:15" ht="16.5" thickBot="1" x14ac:dyDescent="0.3">
      <c r="B7" s="5" t="s">
        <v>12</v>
      </c>
      <c r="C7" s="2">
        <v>16</v>
      </c>
    </row>
    <row r="8" spans="2:15" ht="16.5" thickBot="1" x14ac:dyDescent="0.3"/>
    <row r="9" spans="2:15" x14ac:dyDescent="0.25">
      <c r="B9" s="17" t="s">
        <v>17</v>
      </c>
      <c r="C9" s="18"/>
      <c r="D9" s="18"/>
      <c r="E9" s="19"/>
    </row>
    <row r="10" spans="2:15" x14ac:dyDescent="0.25">
      <c r="B10" s="6" t="s">
        <v>0</v>
      </c>
      <c r="C10" s="7" t="s">
        <v>8</v>
      </c>
      <c r="D10" s="7" t="s">
        <v>13</v>
      </c>
      <c r="E10" s="8" t="s">
        <v>9</v>
      </c>
      <c r="F10" t="s">
        <v>1</v>
      </c>
      <c r="G10" t="s">
        <v>2</v>
      </c>
      <c r="H10" t="s">
        <v>3</v>
      </c>
      <c r="I10" t="s">
        <v>4</v>
      </c>
      <c r="J10" t="s">
        <v>5</v>
      </c>
      <c r="K10" t="s">
        <v>6</v>
      </c>
      <c r="L10" t="s">
        <v>22</v>
      </c>
      <c r="M10" t="s">
        <v>7</v>
      </c>
    </row>
    <row r="11" spans="2:15" x14ac:dyDescent="0.25">
      <c r="B11" s="4" t="s">
        <v>14</v>
      </c>
      <c r="C11" s="3">
        <v>29</v>
      </c>
      <c r="D11" s="9">
        <f>IF(ISNUMBER(C11), (M11-K11)/L11, "")</f>
        <v>-0.4502721241983843</v>
      </c>
      <c r="E11" s="10">
        <f>IF(ISNUMBER(C11), NORMDIST(D11,0,1,1)*100, "")</f>
        <v>32.625711818518774</v>
      </c>
      <c r="F11">
        <v>22.969906000000002</v>
      </c>
      <c r="G11">
        <v>-9.9283999999999997E-2</v>
      </c>
      <c r="H11">
        <v>0.71651900000000002</v>
      </c>
      <c r="I11">
        <f>IF(ISNUMBER(C6),C6,"")</f>
        <v>26</v>
      </c>
      <c r="J11">
        <f>IF(ISNUMBER(C7),C7,"")</f>
        <v>16</v>
      </c>
      <c r="K11">
        <f>((F11)+(G11*I11)+(H11*J11))</f>
        <v>31.852826</v>
      </c>
      <c r="L11">
        <f>SQRT(40.142133)</f>
        <v>6.3357819564754596</v>
      </c>
      <c r="M11">
        <f>C11</f>
        <v>29</v>
      </c>
    </row>
    <row r="12" spans="2:15" x14ac:dyDescent="0.25">
      <c r="B12" s="4" t="s">
        <v>15</v>
      </c>
      <c r="C12" s="3"/>
      <c r="D12" s="9" t="str">
        <f>IF(ISNUMBER(C12), (M12-K12)/L12, "")</f>
        <v/>
      </c>
      <c r="E12" s="10" t="str">
        <f t="shared" ref="E12:E15" si="0">IF(ISNUMBER(C12), NORMDIST(D12,0,1,1)*100, "")</f>
        <v/>
      </c>
      <c r="F12">
        <v>12.997165000000001</v>
      </c>
      <c r="G12">
        <v>-0.126084</v>
      </c>
      <c r="H12">
        <v>0.35965200000000003</v>
      </c>
      <c r="I12">
        <f>IF(ISNUMBER(C6),C6,"")</f>
        <v>26</v>
      </c>
      <c r="J12">
        <f>IF(ISNUMBER(C7),C7,"")</f>
        <v>16</v>
      </c>
      <c r="K12">
        <f>((F12)+(G12*I12)+(H12*J12))</f>
        <v>15.473413000000001</v>
      </c>
      <c r="L12">
        <f>SQRT(47.108233)</f>
        <v>6.8635437639749917</v>
      </c>
      <c r="M12">
        <f t="shared" ref="M12:M15" si="1">C12</f>
        <v>0</v>
      </c>
    </row>
    <row r="13" spans="2:15" x14ac:dyDescent="0.25">
      <c r="B13" s="4" t="s">
        <v>16</v>
      </c>
      <c r="C13" s="3"/>
      <c r="D13" s="9" t="str">
        <f>IF(ISNUMBER(C13), (M13-K13)/L13, "")</f>
        <v/>
      </c>
      <c r="E13" s="10" t="str">
        <f t="shared" si="0"/>
        <v/>
      </c>
      <c r="F13">
        <v>13.536389</v>
      </c>
      <c r="G13">
        <v>-0.13717299999999999</v>
      </c>
      <c r="H13">
        <v>0.32870300000000002</v>
      </c>
      <c r="I13">
        <f>IF(ISNUMBER(C6),C6,"")</f>
        <v>26</v>
      </c>
      <c r="J13">
        <f>IF(ISNUMBER(C7),C7,"")</f>
        <v>16</v>
      </c>
      <c r="K13">
        <f>((F13)+(G13*I13)+(H13*J13))</f>
        <v>15.229139</v>
      </c>
      <c r="L13">
        <f>SQRT(40.383241)</f>
        <v>6.3547809560991162</v>
      </c>
      <c r="M13">
        <f t="shared" si="1"/>
        <v>0</v>
      </c>
    </row>
    <row r="14" spans="2:15" x14ac:dyDescent="0.25">
      <c r="B14" s="4" t="s">
        <v>18</v>
      </c>
      <c r="C14" s="3"/>
      <c r="D14" s="9" t="str">
        <f>IF(ISNUMBER(C14), (M14-K14)/L14, "")</f>
        <v/>
      </c>
      <c r="E14" s="10" t="str">
        <f t="shared" si="0"/>
        <v/>
      </c>
      <c r="F14">
        <v>18.105073999999998</v>
      </c>
      <c r="G14">
        <v>-5.4982999999999997E-2</v>
      </c>
      <c r="H14">
        <v>0.22620100000000001</v>
      </c>
      <c r="I14">
        <f>IF(ISNUMBER(C6),C6,"")</f>
        <v>26</v>
      </c>
      <c r="J14">
        <f>IF(ISNUMBER(C7),C7,"")</f>
        <v>16</v>
      </c>
      <c r="K14">
        <f>((F14)+(G14*I14)+(H14*J14))</f>
        <v>20.294732</v>
      </c>
      <c r="L14">
        <f>SQRT(5.284817)</f>
        <v>2.2988729847470912</v>
      </c>
      <c r="M14">
        <f t="shared" si="1"/>
        <v>0</v>
      </c>
    </row>
    <row r="15" spans="2:15" ht="16.5" thickBot="1" x14ac:dyDescent="0.3">
      <c r="B15" s="5" t="s">
        <v>19</v>
      </c>
      <c r="C15" s="11" t="str">
        <f>IF(ISNUMBER(C13), (C13/C11)*100, "")</f>
        <v/>
      </c>
      <c r="D15" s="11" t="str">
        <f>IF(ISNUMBER(C15), (M15-K15)/L15, "")</f>
        <v/>
      </c>
      <c r="E15" s="12" t="str">
        <f t="shared" si="0"/>
        <v/>
      </c>
      <c r="F15">
        <v>55.522739999999999</v>
      </c>
      <c r="G15">
        <v>-0.30890800000000002</v>
      </c>
      <c r="I15">
        <f>IF(ISNUMBER(C6),C6,"")</f>
        <v>26</v>
      </c>
      <c r="J15">
        <f>IF(ISNUMBER(C7),C7,"")</f>
        <v>16</v>
      </c>
      <c r="K15">
        <f>((F15)+G15*I15)</f>
        <v>47.491132</v>
      </c>
      <c r="L15">
        <f>SQRT(378.007378)</f>
        <v>19.442411835983723</v>
      </c>
      <c r="M15" t="str">
        <f t="shared" si="1"/>
        <v/>
      </c>
    </row>
    <row r="17" spans="2:15" ht="47.25" customHeight="1" x14ac:dyDescent="0.25">
      <c r="B17" s="22" t="s">
        <v>21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9" spans="2:15" ht="53.1" customHeight="1" x14ac:dyDescent="0.25">
      <c r="B19" s="14" t="s">
        <v>23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</sheetData>
  <sheetProtection algorithmName="SHA-512" hashValue="EYf11poyM3LqyPp4zNmyogcjHhoDRQvQqdY/rWuQS1NEaqhXh1ZebytDezI4ECqmGdldvge8/7kbm/oJX9lerA==" saltValue="YlGpDPXTKwon+ipNdlWmfw==" spinCount="100000" sheet="1" objects="1" scenarios="1" selectLockedCells="1"/>
  <mergeCells count="6">
    <mergeCell ref="B19:O19"/>
    <mergeCell ref="B5:C5"/>
    <mergeCell ref="B9:E9"/>
    <mergeCell ref="B2:O2"/>
    <mergeCell ref="B3:O3"/>
    <mergeCell ref="B17:O17"/>
  </mergeCells>
  <conditionalFormatting sqref="C6">
    <cfRule type="cellIs" dxfId="5" priority="5" operator="between">
      <formula>17.99</formula>
      <formula>0.1</formula>
    </cfRule>
    <cfRule type="cellIs" dxfId="4" priority="6" operator="greaterThan">
      <formula>64</formula>
    </cfRule>
  </conditionalFormatting>
  <conditionalFormatting sqref="C7">
    <cfRule type="cellIs" dxfId="3" priority="3" operator="between">
      <formula>5.99</formula>
      <formula>0.1</formula>
    </cfRule>
    <cfRule type="cellIs" dxfId="2" priority="4" operator="greaterThan">
      <formula>20</formula>
    </cfRule>
  </conditionalFormatting>
  <conditionalFormatting sqref="C11:C13">
    <cfRule type="cellIs" dxfId="1" priority="2" operator="greaterThan">
      <formula>36</formula>
    </cfRule>
  </conditionalFormatting>
  <conditionalFormatting sqref="C14">
    <cfRule type="cellIs" dxfId="0" priority="1" operator="greaterThan">
      <formula>24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 G. Lee, Ph.D.</dc:creator>
  <cp:lastModifiedBy>Bern Lee</cp:lastModifiedBy>
  <dcterms:created xsi:type="dcterms:W3CDTF">2020-06-16T18:57:26Z</dcterms:created>
  <dcterms:modified xsi:type="dcterms:W3CDTF">2026-01-07T15:31:43Z</dcterms:modified>
</cp:coreProperties>
</file>